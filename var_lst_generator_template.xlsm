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D1B15825-DC2E-405A-ADE3-76E93E0BC7F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ultimeterDB" sheetId="5" r:id="rId1"/>
    <sheet name="info" sheetId="4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/>
  <c r="B5" i="2" a="1"/>
  <c r="B5" i="2" s="1"/>
  <c r="B6" i="2" a="1"/>
  <c r="B6" i="2"/>
  <c r="B7" i="2" a="1"/>
  <c r="B7" i="2"/>
  <c r="B8" i="2" a="1"/>
  <c r="B8" i="2" s="1"/>
  <c r="B9" i="2" a="1"/>
  <c r="B9" i="2" s="1"/>
  <c r="B10" i="2" a="1"/>
  <c r="B10" i="2"/>
  <c r="B11" i="2" a="1"/>
  <c r="B11" i="2"/>
  <c r="B12" i="2" a="1"/>
  <c r="B12" i="2" s="1"/>
  <c r="B13" i="2" a="1"/>
  <c r="B13" i="2"/>
  <c r="B14" i="2" a="1"/>
  <c r="B14" i="2" s="1"/>
  <c r="B15" i="2" a="1"/>
  <c r="B15" i="2" s="1"/>
  <c r="B16" i="2" a="1"/>
  <c r="B16" i="2"/>
  <c r="B17" i="2" a="1"/>
  <c r="B17" i="2"/>
  <c r="B18" i="2" a="1"/>
  <c r="B18" i="2"/>
  <c r="B19" i="2" a="1"/>
  <c r="B19" i="2" s="1"/>
  <c r="B20" i="2" a="1"/>
  <c r="B20" i="2" s="1"/>
  <c r="B21" i="2" a="1"/>
  <c r="B21" i="2" s="1"/>
  <c r="B22" i="2" a="1"/>
  <c r="B22" i="2"/>
  <c r="B23" i="2" a="1"/>
  <c r="B23" i="2"/>
  <c r="B24" i="2" a="1"/>
  <c r="B24" i="2"/>
  <c r="B25" i="2" a="1"/>
  <c r="B25" i="2"/>
  <c r="B26" i="2" a="1"/>
  <c r="B26" i="2" s="1"/>
  <c r="B27" i="2" a="1"/>
  <c r="B27" i="2" s="1"/>
  <c r="B28" i="2" a="1"/>
  <c r="B28" i="2"/>
  <c r="B29" i="2" a="1"/>
  <c r="B29" i="2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<sst xmlns="http://schemas.openxmlformats.org/spreadsheetml/2006/main" count="701" uniqueCount="283">
  <si>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</si>
  <si>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</si>
  <si>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</si>
  <si>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</si>
  <si>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</si>
  <si>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</si>
  <si>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</si>
  <si>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</si>
  <si>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</si>
  <si>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</si>
  <si>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</si>
  <si>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</si>
  <si>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</si>
  <si>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</si>
  <si>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</si>
  <si>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</si>
  <si>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</si>
  <si>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</si>
  <si>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</si>
  <si>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</si>
  <si>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</si>
  <si>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</si>
  <si>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</si>
  <si>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</si>
  <si>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</si>
  <si>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</si>
  <si>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</si>
  <si>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</si>
  <si>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</si>
  <si>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</si>
  <si>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</si>
  <si>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</si>
  <si>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</si>
  <si>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</si>
  <si>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</si>
  <si>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</si>
  <si>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</si>
  <si>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</si>
  <si>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</si>
  <si>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</si>
  <si>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</si>
  <si>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</si>
  <si>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</si>
  <si>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</si>
  <si>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</si>
  <si>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</si>
  <si>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</si>
  <si>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</si>
  <si>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</si>
  <si>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</si>
  <si>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</si>
  <si>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</si>
  <si>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</si>
  <si>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</si>
  <si>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</si>
  <si>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</si>
  <si>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</si>
  <si>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</si>
  <si>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</si>
  <si>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</si>
  <si>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</si>
  <si>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</si>
  <si>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</si>
  <si>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</si>
  <si>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</si>
  <si>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</si>
  <si>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</si>
  <si>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</si>
  <si>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</si>
  <si>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</si>
  <si>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</si>
  <si>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</si>
  <si>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</si>
  <si>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</si>
  <si>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</si>
  <si>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</si>
  <si>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</si>
  <si>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</si>
  <si>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</si>
  <si>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</si>
  <si>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</si>
  <si>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</si>
  <si>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</si>
  <si>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</si>
  <si>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</si>
  <si>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</si>
  <si>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</si>
  <si>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</si>
  <si>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</si>
  <si>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</si>
  <si>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</si>
  <si>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</si>
  <si>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</si>
  <si>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</si>
  <si>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</si>
  <si>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</si>
  <si>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</si>
  <si>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</si>
  <si>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</si>
  <si>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</si>
  <si>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</si>
  <si>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</si>
  <si>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</si>
  <si>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</si>
  <si>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</si>
  <si>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</si>
  <si>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</si>
  <si>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</si>
  <si>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</si>
  <si>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</si>
  <si>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</si>
  <si>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</si>
  <si>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</si>
  <si>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</si>
  <si>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</si>
  <si>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</si>
  <si>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</si>
  <si>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</si>
  <si>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</si>
  <si>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</si>
  <si>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</si>
  <si>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</si>
  <si>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</si>
  <si>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</si>
  <si>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</si>
  <si>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</si>
  <si>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</si>
  <si>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</si>
  <si>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</si>
  <si>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</si>
  <si>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</si>
  <si>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</si>
  <si>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</si>
  <si>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</si>
  <si>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</si>
  <si>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</si>
  <si>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</si>
  <si>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</si>
  <si>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</si>
  <si>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</si>
  <si>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</si>
  <si>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</si>
  <si>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</si>
  <si>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</si>
  <si>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</si>
  <si>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</si>
  <si>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</si>
  <si>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</si>
  <si>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</si>
  <si>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</si>
  <si>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</si>
  <si>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</si>
  <si>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</si>
  <si>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</si>
  <si>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</si>
  <si>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</si>
  <si>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</si>
  <si>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</si>
  <si>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</si>
  <si>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</si>
  <si>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</si>
  <si>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</si>
  <si>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</si>
  <si>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</si>
  <si>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</si>
  <si>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</si>
  <si>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</si>
  <si>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</si>
  <si>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</si>
  <si>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</si>
  <si>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</si>
  <si>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</si>
  <si>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</si>
  <si>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</si>
  <si>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</si>
  <si>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</si>
  <si>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</si>
  <si>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</si>
  <si>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</si>
  <si>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</si>
  <si>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</si>
  <si>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</si>
  <si>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</si>
  <si>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</si>
  <si>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</si>
  <si>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</si>
  <si>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</si>
  <si>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</si>
  <si>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</si>
  <si>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</si>
  <si>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</si>
  <si>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</si>
  <si>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</si>
  <si>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</si>
  <si>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</si>
  <si>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</si>
  <si>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</si>
  <si>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192.168.8.62</t>
  </si>
  <si>
    <t xml:space="preserve"> </t>
  </si>
  <si>
    <t>EMU P20A000T 'Gruppo di aspirazione LASER'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</si>
  <si>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</si>
  <si>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</si>
  <si>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</si>
  <si>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</si>
  <si>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</si>
  <si>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</si>
  <si>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</si>
  <si>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</si>
  <si>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</si>
  <si>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</si>
  <si>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</si>
  <si>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PowerEqAux26_INT</t>
  </si>
  <si>
    <t>45934H,26,192.168.8.62</t>
  </si>
  <si>
    <t>Potenza attiva trifase - EMU P20A000T 'Gruppo di aspirazione LASER' - Letta come INTEGER</t>
  </si>
  <si>
    <t>PowerEqAux26_Onchange</t>
  </si>
  <si>
    <t>Per ONCHANGE (script): stesso valore di PowerEqAux26</t>
  </si>
  <si>
    <t>PowerEqAux26</t>
  </si>
  <si>
    <t>Potenza attiva trifase - EMU P20A000T 'Gruppo di aspirazione LASER' [kW] - Convertita</t>
  </si>
  <si>
    <t>ReactPowerEqAux26_INT</t>
  </si>
  <si>
    <t>49010H,26,192.168.8.62</t>
  </si>
  <si>
    <t>Potenza reattiva trifase - EMU P20A000T 'Gruppo di aspirazione LASER' [kvar] - letta come INTEGER</t>
  </si>
  <si>
    <t>ReactPowerEqAux26</t>
  </si>
  <si>
    <t>Potenza reattiva trifase - EMU P20A000T 'Gruppo di aspirazione LASER' [kvar] - Convertita</t>
  </si>
  <si>
    <t>CosphiAux26_INT</t>
  </si>
  <si>
    <t>45958H,26,192.168.8.62</t>
  </si>
  <si>
    <t>Fattore di potenza - EMU P20A000T 'Gruppo di aspirazione LASER' - Letto come INTEGER</t>
  </si>
  <si>
    <t>CosphiAux26</t>
  </si>
  <si>
    <t>Fattore di potenza - EMU P20A000T 'Gruppo di aspirazione LASER' - Convertito</t>
  </si>
  <si>
    <t>EnergyAux26</t>
  </si>
  <si>
    <t>48000E,26,192.168.8.62</t>
  </si>
  <si>
    <t>Energia attiva assorbita (positiva) - EMU P20A000T 'Gruppo di aspirazione LASER' [kWh]</t>
  </si>
  <si>
    <t>NegEnergyAux26</t>
  </si>
  <si>
    <t>46020H,26,192.168.8.62</t>
  </si>
  <si>
    <t>Energia attiva ceduta (negativa) - EMU P20A000T 'Gruppo di aspirazione LASER' [kWh]</t>
  </si>
  <si>
    <t>VoltageL1NAux26</t>
  </si>
  <si>
    <t>45952H,26,192.168.8.62</t>
  </si>
  <si>
    <t>Tensione tra fase 1 e neutro - EMU P20A000T 'Gruppo di aspirazione LASER' [V]</t>
  </si>
  <si>
    <t>VoltageL2NAux26</t>
  </si>
  <si>
    <t>45954H,26,192.168.8.62</t>
  </si>
  <si>
    <t>Tensione tra fase 2 e neutro - EMU P20A000T 'Gruppo di aspirazione LASER' [V]</t>
  </si>
  <si>
    <t>VoltageL3NAux26</t>
  </si>
  <si>
    <t>45956H,26,192.168.8.62</t>
  </si>
  <si>
    <t>Tensione tra fase 3 e neutro - EMU P20A000T 'Gruppo di aspirazione LASER' [V]</t>
  </si>
  <si>
    <t>CurrentL1Aux26</t>
  </si>
  <si>
    <t>45944H,26,192.168.8.62</t>
  </si>
  <si>
    <t>Corrente fase 1 - EMU P20A000T 'Gruppo di aspirazione LASER' [A]</t>
  </si>
  <si>
    <t>CurrentL2Aux26</t>
  </si>
  <si>
    <t>45946H,26,192.168.8.62</t>
  </si>
  <si>
    <t>Corrente fase 2 - EMU P20A000T 'Gruppo di aspirazione LASER' [A]</t>
  </si>
  <si>
    <t>CurrentL3Aux26</t>
  </si>
  <si>
    <t>45948H,26,192.168.8.62</t>
  </si>
  <si>
    <t>Corrente fase 3 - EMU P20A000T 'Gruppo di aspirazione LASER' [A]</t>
  </si>
  <si>
    <t>IdlePowerAux26</t>
  </si>
  <si>
    <t>Valore potenza passaggio ON -&gt; STANDBY consumi elettrici Aux26</t>
  </si>
  <si>
    <t>StatoONAux26</t>
  </si>
  <si>
    <t>StatoSTANDBYAux26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</si>
  <si>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</si>
  <si>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</si>
  <si>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</si>
  <si>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</si>
  <si>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</si>
  <si>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</si>
  <si>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</si>
  <si>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</si>
  <si>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</si>
  <si>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</si>
  <si>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</si>
  <si>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</si>
  <si>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</si>
  <si>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</si>
  <si>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</si>
  <si>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</si>
  <si>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</si>
  <si>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</si>
  <si>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</si>
  <si>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</si>
  <si>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</si>
  <si>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</si>
  <si>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</si>
  <si>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</si>
  <si>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Trovare se c'è il valore in tabella</t>
  </si>
  <si>
    <t>Trovare le coordinate di quel valore appena trovato in tabella</t>
  </si>
  <si>
    <t>Restituire il valore della cella alla riga 1 della stessa colonna del valore troato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</si>
</sst>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</cellXfs>
  <cellStyles count="1">
    <cellStyle name="Normale" xfId="0" builtinId="0"/>
  </cellStyles>
  <dxfs count="30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375" totalsRowShown="0" headerRowDxfId="29" dataDxfId="28">
  <autoFilter ref="A1:T375" xr:uid="{D64A840F-08AA-4A4E-9A2F-B081B725065B}"/>
  <tableColumns count="20">
    <tableColumn id="1" xr3:uid="{F7652D5D-C8A4-411F-AE6E-16718C3FCBF6}" name="TIPO 1" dataDxfId="27"/>
    <tableColumn id="2" xr3:uid="{E6CAA17E-92B7-486D-82E9-53B148F3D8F4}" name="TIPO 2" dataDxfId="26"/>
    <tableColumn id="3" xr3:uid="{55B5E585-B8DA-4453-9E2B-4162DA88673F}" name="TIPO 3" dataDxfId="25"/>
    <tableColumn id="4" xr3:uid="{50BACB28-4910-489F-A49F-5F38B80B98A1}" name="TIPO 4" dataDxfId="24"/>
    <tableColumn id="5" xr3:uid="{50BFA9B5-E290-4A38-B657-B554A3945577}" name="TIPO 5" dataDxfId="23"/>
    <tableColumn id="6" xr3:uid="{D517522E-28F8-42FC-9418-A0233EDCF395}" name="TIPO 6" dataDxfId="22"/>
    <tableColumn id="7" xr3:uid="{4C364CAF-4B4F-46D1-B969-9E7F2D320B69}" name="TIPO 7" dataDxfId="21"/>
    <tableColumn id="8" xr3:uid="{F69BD130-9F65-4261-BD67-BECD26715F90}" name="TIPO 8" dataDxfId="20"/>
    <tableColumn id="9" xr3:uid="{33D1D483-EE30-4385-8DBE-94F4C3054596}" name="TIPO 9" dataDxfId="19"/>
    <tableColumn id="10" xr3:uid="{757F3F78-7932-4DE6-ACCB-6904E9268CC4}" name="TIPO 10" dataDxfId="18"/>
    <tableColumn id="11" xr3:uid="{CE245573-8914-4F56-A426-69CAD3023CAC}" name="TIPO 11" dataDxfId="17"/>
    <tableColumn id="12" xr3:uid="{161CFC69-6817-4703-8D48-7A0874F62A33}" name="TIPO 12" dataDxfId="16"/>
    <tableColumn id="13" xr3:uid="{558688C8-0695-4059-AB33-50077E8C713C}" name="TIPO 13" dataDxfId="15"/>
    <tableColumn id="14" xr3:uid="{F0B6D40C-15F9-430F-9AE2-7AC4336DC64C}" name="TIPO 14" dataDxfId="14"/>
    <tableColumn id="15" xr3:uid="{031CC6BD-98F8-4BC3-9CBB-6C526D783D14}" name="TIPO 15" dataDxfId="13"/>
    <tableColumn id="16" xr3:uid="{7B45F6CC-E100-444A-A237-B3A4299CC440}" name="TIPO 16" dataDxfId="12"/>
    <tableColumn id="17" xr3:uid="{ACDF5855-3F3B-4106-9672-B33C39308083}" name="TIPO 17" dataDxfId="11"/>
    <tableColumn id="18" xr3:uid="{9348AD2A-E319-485C-AFCE-90D8188501B8}" name="TIPO 18" dataDxfId="10"/>
    <tableColumn id="19" xr3:uid="{3037DBD9-CEB8-4A84-8CF1-0670CC8A8CDC}" name="TIPO 19" dataDxfId="9"/>
    <tableColumn id="20" xr3:uid="{AAE0F156-AF95-4254-90C5-C91ECF88F5EB}" name="TIPO 20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0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4"/>
    <tableColumn id="2" xr3:uid="{2ED8A216-39F5-4602-88DC-BB86252230C2}" name="DESCRIZIONE (d3scription)" dataDxfId="3"/>
    <tableColumn id="6" xr3:uid="{823254B5-2253-443C-8B7F-0DF8D050F327}" name="DEVICE ADDRESS (@)" dataDxfId="2"/>
    <tableColumn id="4" xr3:uid="{81D007F8-8E07-4E05-8683-A12ADDA4E05E}" name="IP (ç)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dimension ref="A1:T5"/>
  <sheetViews>
    <sheetView workbookViewId="0">
      <selection activeCell="B3" sqref="B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11.42578125" style="2" customWidth="1"/>
    <col min="5" max="5" width="24.7109375" style="2" customWidth="1"/>
    <col min="6" max="9" width="11.42578125" style="2" customWidth="1"/>
    <col min="10" max="20" width="12.42578125" style="2" customWidth="1"/>
  </cols>
  <sheetData>
    <row r="1" spans="1:20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196</v>
      </c>
      <c r="F1" s="2" t="s">
        <v>256</v>
      </c>
      <c r="G1" s="2" t="s">
        <v>257</v>
      </c>
      <c r="H1" s="2" t="s">
        <v>258</v>
      </c>
      <c r="I1" s="2" t="s">
        <v>259</v>
      </c>
      <c r="J1" s="2" t="s">
        <v>260</v>
      </c>
      <c r="K1" s="2" t="s">
        <v>261</v>
      </c>
      <c r="L1" s="2" t="s">
        <v>262</v>
      </c>
      <c r="M1" s="2" t="s">
        <v>263</v>
      </c>
      <c r="N1" s="2" t="s">
        <v>264</v>
      </c>
      <c r="O1" s="2" t="s">
        <v>265</v>
      </c>
      <c r="P1" s="2" t="s">
        <v>266</v>
      </c>
      <c r="Q1" s="2" t="s">
        <v>267</v>
      </c>
      <c r="R1" s="2" t="s">
        <v>268</v>
      </c>
      <c r="S1" s="2" t="s">
        <v>269</v>
      </c>
      <c r="T1" s="2" t="s">
        <v>270</v>
      </c>
    </row>
    <row r="2" spans="1:20" x14ac:dyDescent="0.25">
      <c r="A2" s="2" t="s">
        <v>274</v>
      </c>
      <c r="B2" s="2" t="s">
        <v>271</v>
      </c>
      <c r="C2" s="2" t="s">
        <v>278</v>
      </c>
      <c r="E2" s="2" t="s">
        <v>279</v>
      </c>
    </row>
    <row r="3" spans="1:20" x14ac:dyDescent="0.25">
      <c r="A3" s="2" t="s">
        <v>275</v>
      </c>
      <c r="B3" s="2" t="s">
        <v>272</v>
      </c>
    </row>
    <row r="4" spans="1:20" x14ac:dyDescent="0.25">
      <c r="A4" s="2" t="s">
        <v>276</v>
      </c>
      <c r="B4" s="2" t="s">
        <v>273</v>
      </c>
    </row>
    <row r="5" spans="1:20" x14ac:dyDescent="0.25">
      <c r="B5" s="2" t="s">
        <v>277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181</v>
      </c>
    </row>
    <row r="4" spans="1:2" x14ac:dyDescent="0.25">
      <c r="A4" s="8">
        <v>2</v>
      </c>
      <c r="B4" s="7" t="s">
        <v>176</v>
      </c>
    </row>
    <row r="11" spans="1:2" x14ac:dyDescent="0.25">
      <c r="A11" s="8">
        <v>3</v>
      </c>
      <c r="B11" s="7" t="s">
        <v>177</v>
      </c>
    </row>
    <row r="13" spans="1:2" x14ac:dyDescent="0.25">
      <c r="A13" s="8">
        <v>4</v>
      </c>
      <c r="B13" s="7" t="s">
        <v>178</v>
      </c>
    </row>
    <row r="15" spans="1:2" x14ac:dyDescent="0.25">
      <c r="A15" s="8">
        <v>5</v>
      </c>
      <c r="B15" s="7" t="s">
        <v>179</v>
      </c>
    </row>
    <row r="17" spans="1:2" x14ac:dyDescent="0.25">
      <c r="A17" s="8">
        <v>6</v>
      </c>
      <c r="B17" s="7" t="s">
        <v>183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M64"/>
  <sheetViews>
    <sheetView tabSelected="1" workbookViewId="0">
      <selection activeCell="D2" sqref="D2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6.42578125" customWidth="1"/>
    <col min="7" max="8" width="5.7109375" style="2" customWidth="1"/>
    <col min="9" max="9" width="5.7109375" customWidth="1"/>
    <col min="10" max="10" width="6.5703125" bestFit="1" customWidth="1"/>
    <col min="11" max="11" width="30.140625" style="2" bestFit="1" customWidth="1"/>
    <col min="12" max="12" width="14.5703125" customWidth="1"/>
  </cols>
  <sheetData>
    <row r="1" spans="1:13" x14ac:dyDescent="0.25">
      <c r="A1" s="2" t="s">
        <v>180</v>
      </c>
      <c r="B1" s="2" t="s">
        <v>109</v>
      </c>
      <c r="C1" s="2" t="s">
        <v>149</v>
      </c>
      <c r="D1" s="2" t="s">
        <v>182</v>
      </c>
      <c r="E1" s="2" t="s">
        <v>175</v>
      </c>
      <c r="F1" s="2" t="s">
        <v>148</v>
      </c>
      <c r="G1"/>
      <c r="H1"/>
      <c r="K1" t="s">
        <v>137</v>
      </c>
    </row>
    <row r="2" spans="1:13" x14ac:dyDescent="0.25">
      <c r="A2" s="2" t="s">
        <v>279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5</v>
      </c>
      <c r="C2" s="2">
        <v>26</v>
      </c>
      <c r="D2" s="2" t="s">
        <v>199</v>
      </c>
      <c r="E2" s="2">
        <v>26</v>
      </c>
      <c r="F2" s="2" t="s">
        <v>197</v>
      </c>
      <c r="G2"/>
      <c r="H2"/>
      <c r="J2" t="s">
        <v>107</v>
      </c>
      <c r="K2"/>
    </row>
    <row r="3" spans="1:13" x14ac:dyDescent="0.25">
      <c r="A3" s="2" t="s">
        <v>272</v>
      </c>
      <c r="B3" s="2" t="str" cm="1">
        <f t="array" ref="B3">IF(Tabella1[[#This Row],[Modello Multimetro]]="","",IFERROR(
  INDEX(
    Tabella2[#Headers],
    MATCH(
      MIN(IF(tabMulti=A3, COLUMN(tabMulti))),
      COLUMN(tabMulti),
      0
    )
  ),
  ""))</f>
        <v>TIPO 2</v>
      </c>
      <c r="C3" s="2"/>
      <c r="D3" s="2" t="s">
        <v>198</v>
      </c>
      <c r="E3" s="2"/>
      <c r="F3" s="2"/>
      <c r="G3"/>
      <c r="H3"/>
      <c r="J3" t="s">
        <v>110</v>
      </c>
      <c r="K3"/>
    </row>
    <row r="4" spans="1:13" x14ac:dyDescent="0.25">
      <c r="B4" s="2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/>
      <c r="H4"/>
      <c r="J4" t="s">
        <v>108</v>
      </c>
      <c r="K4"/>
    </row>
    <row r="5" spans="1:13" x14ac:dyDescent="0.25">
      <c r="B5" s="2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/>
      <c r="H5"/>
      <c r="J5" t="s">
        <v>111</v>
      </c>
      <c r="K5"/>
    </row>
    <row r="6" spans="1:13" x14ac:dyDescent="0.25">
      <c r="B6" s="2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/>
      <c r="H6"/>
      <c r="J6" t="s">
        <v>196</v>
      </c>
      <c r="K6"/>
    </row>
    <row r="7" spans="1:13" x14ac:dyDescent="0.25">
      <c r="B7" s="2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/>
      <c r="H7"/>
      <c r="K7"/>
    </row>
    <row r="8" spans="1:13" x14ac:dyDescent="0.25">
      <c r="B8" s="2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/>
      <c r="H8"/>
      <c r="K8"/>
      <c r="M8" t="s">
        <v>280</v>
      </c>
    </row>
    <row r="9" spans="1:13" x14ac:dyDescent="0.25">
      <c r="B9" s="2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/>
      <c r="H9"/>
      <c r="K9"/>
      <c r="M9" t="s">
        <v>281</v>
      </c>
    </row>
    <row r="10" spans="1:13" x14ac:dyDescent="0.25">
      <c r="B10" s="2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/>
      <c r="H10"/>
      <c r="K10"/>
      <c r="M10" t="s">
        <v>282</v>
      </c>
    </row>
    <row r="11" spans="1:13" x14ac:dyDescent="0.25">
      <c r="B11" s="2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/>
      <c r="H11"/>
      <c r="K11"/>
    </row>
    <row r="12" spans="1:13" x14ac:dyDescent="0.25">
      <c r="B12" s="2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/>
      <c r="H12"/>
      <c r="K12"/>
    </row>
    <row r="13" spans="1:13" x14ac:dyDescent="0.25">
      <c r="B13" s="2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/>
      <c r="H13"/>
      <c r="K13"/>
    </row>
    <row r="14" spans="1:13" x14ac:dyDescent="0.25">
      <c r="B14" s="2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/>
      <c r="H14"/>
      <c r="K14"/>
    </row>
    <row r="15" spans="1:13" x14ac:dyDescent="0.25">
      <c r="B15" s="2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/>
      <c r="H15"/>
      <c r="K15"/>
    </row>
    <row r="16" spans="1:13" x14ac:dyDescent="0.25">
      <c r="B16" s="2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/>
      <c r="H16"/>
      <c r="K16"/>
    </row>
    <row r="17" spans="2:11" x14ac:dyDescent="0.25">
      <c r="B17" s="2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/>
      <c r="H17"/>
      <c r="K17"/>
    </row>
    <row r="18" spans="2:11" x14ac:dyDescent="0.25">
      <c r="B18" s="2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/>
      <c r="H18"/>
      <c r="K18"/>
    </row>
    <row r="19" spans="2:11" x14ac:dyDescent="0.25">
      <c r="B19" s="2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/>
      <c r="H19"/>
      <c r="K19"/>
    </row>
    <row r="20" spans="2:11" x14ac:dyDescent="0.25">
      <c r="B20" s="2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/>
      <c r="H20"/>
      <c r="K20"/>
    </row>
    <row r="21" spans="2:11" x14ac:dyDescent="0.25">
      <c r="B21" s="2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/>
      <c r="H21"/>
      <c r="K21"/>
    </row>
    <row r="22" spans="2:11" x14ac:dyDescent="0.25">
      <c r="B22" s="2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/>
      <c r="H22"/>
      <c r="K22"/>
    </row>
    <row r="23" spans="2:11" x14ac:dyDescent="0.25">
      <c r="B23" s="2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/>
      <c r="H23"/>
      <c r="K23"/>
    </row>
    <row r="24" spans="2:11" x14ac:dyDescent="0.25">
      <c r="B24" s="2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/>
      <c r="H24"/>
      <c r="K24"/>
    </row>
    <row r="25" spans="2:11" x14ac:dyDescent="0.25">
      <c r="B25" s="2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/>
      <c r="H25"/>
      <c r="K25"/>
    </row>
    <row r="26" spans="2:11" x14ac:dyDescent="0.25">
      <c r="B26" s="2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/>
      <c r="H26"/>
      <c r="K26"/>
    </row>
    <row r="27" spans="2:11" x14ac:dyDescent="0.25">
      <c r="B27" s="2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/>
      <c r="H27"/>
      <c r="K27"/>
    </row>
    <row r="28" spans="2:11" x14ac:dyDescent="0.25">
      <c r="B28" s="2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/>
      <c r="H28"/>
      <c r="K28"/>
    </row>
    <row r="29" spans="2:11" x14ac:dyDescent="0.25">
      <c r="B29" s="2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/>
      <c r="H29"/>
      <c r="K29"/>
    </row>
    <row r="30" spans="2:11" x14ac:dyDescent="0.25">
      <c r="B30" s="2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/>
      <c r="H30"/>
      <c r="K30"/>
    </row>
    <row r="31" spans="2:11" x14ac:dyDescent="0.25">
      <c r="B31" s="2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/>
      <c r="H31"/>
      <c r="K31"/>
    </row>
    <row r="32" spans="2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zoomScaleNormal="100" workbookViewId="0">
      <selection activeCell="C106" sqref="C106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7" width="15.7109375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138</v>
      </c>
      <c r="D3" t="s">
        <v>62</v>
      </c>
      <c r="E3" t="s">
        <v>72</v>
      </c>
      <c r="F3" s="6" t="s">
        <v>150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139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140</v>
      </c>
      <c r="D6" t="s">
        <v>62</v>
      </c>
      <c r="E6" t="s">
        <v>72</v>
      </c>
      <c r="F6" s="6" t="s">
        <v>151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141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142</v>
      </c>
      <c r="D8" t="s">
        <v>62</v>
      </c>
      <c r="E8" t="s">
        <v>72</v>
      </c>
      <c r="F8" s="6" t="s">
        <v>152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143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144</v>
      </c>
      <c r="D10" t="s">
        <v>62</v>
      </c>
      <c r="E10" t="s">
        <v>72</v>
      </c>
      <c r="F10" s="6" t="s">
        <v>153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145</v>
      </c>
      <c r="D11" t="s">
        <v>62</v>
      </c>
      <c r="E11" t="s">
        <v>72</v>
      </c>
      <c r="F11" s="6" t="s">
        <v>154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146</v>
      </c>
      <c r="D12" t="s">
        <v>62</v>
      </c>
      <c r="E12" t="s">
        <v>72</v>
      </c>
      <c r="F12" s="6" t="s">
        <v>155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184</v>
      </c>
      <c r="C13" t="s">
        <v>185</v>
      </c>
      <c r="D13" t="s">
        <v>62</v>
      </c>
      <c r="E13" t="s">
        <v>72</v>
      </c>
      <c r="F13" s="6" t="s">
        <v>188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186</v>
      </c>
      <c r="C14" t="s">
        <v>187</v>
      </c>
      <c r="D14" t="s">
        <v>62</v>
      </c>
      <c r="E14" t="s">
        <v>72</v>
      </c>
      <c r="F14" s="6" t="s">
        <v>189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147</v>
      </c>
      <c r="D15" t="s">
        <v>62</v>
      </c>
      <c r="E15" t="s">
        <v>72</v>
      </c>
      <c r="F15" s="6" t="s">
        <v>156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190</v>
      </c>
      <c r="C16" t="s">
        <v>192</v>
      </c>
      <c r="D16" t="s">
        <v>62</v>
      </c>
      <c r="E16" t="s">
        <v>72</v>
      </c>
      <c r="F16" s="6" t="s">
        <v>194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191</v>
      </c>
      <c r="C17" t="s">
        <v>193</v>
      </c>
      <c r="D17" t="s">
        <v>62</v>
      </c>
      <c r="E17" t="s">
        <v>72</v>
      </c>
      <c r="F17" s="6" t="s">
        <v>195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163</v>
      </c>
      <c r="D24" t="s">
        <v>62</v>
      </c>
      <c r="E24" t="s">
        <v>72</v>
      </c>
      <c r="F24" t="s">
        <v>157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164</v>
      </c>
      <c r="D25" t="s">
        <v>62</v>
      </c>
      <c r="E25" t="s">
        <v>72</v>
      </c>
      <c r="F25" t="s">
        <v>158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159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160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161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162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165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166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150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169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170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171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172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156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168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170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151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174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156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196</v>
      </c>
    </row>
    <row r="76" spans="1:62" x14ac:dyDescent="0.25">
      <c r="A76">
        <v>1</v>
      </c>
      <c r="B76" t="s">
        <v>81</v>
      </c>
      <c r="C76" t="s">
        <v>138</v>
      </c>
      <c r="D76" t="s">
        <v>62</v>
      </c>
      <c r="E76" t="s">
        <v>72</v>
      </c>
      <c r="F76" t="s">
        <v>206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60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F76">
        <v>0</v>
      </c>
      <c r="BG76">
        <v>44853.511111111111</v>
      </c>
      <c r="BH76">
        <v>0</v>
      </c>
      <c r="BI76">
        <v>65472</v>
      </c>
      <c r="BJ76">
        <v>0</v>
      </c>
    </row>
    <row r="77" spans="1:62" x14ac:dyDescent="0.25">
      <c r="A77">
        <v>2</v>
      </c>
      <c r="B77" t="s">
        <v>83</v>
      </c>
      <c r="C77" t="s">
        <v>84</v>
      </c>
      <c r="D77" t="s">
        <v>64</v>
      </c>
      <c r="E77" t="s">
        <v>65</v>
      </c>
      <c r="F77" t="s">
        <v>83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73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3</v>
      </c>
      <c r="B78" t="s">
        <v>86</v>
      </c>
      <c r="C78" t="s">
        <v>139</v>
      </c>
      <c r="D78" t="s">
        <v>64</v>
      </c>
      <c r="E78" t="s">
        <v>65</v>
      </c>
      <c r="F78" t="s">
        <v>86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60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4</v>
      </c>
      <c r="B79" t="s">
        <v>87</v>
      </c>
      <c r="C79" t="s">
        <v>140</v>
      </c>
      <c r="D79" t="s">
        <v>62</v>
      </c>
      <c r="E79" t="s">
        <v>72</v>
      </c>
      <c r="F79" t="s">
        <v>209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5</v>
      </c>
      <c r="B80" t="s">
        <v>90</v>
      </c>
      <c r="C80" t="s">
        <v>141</v>
      </c>
      <c r="D80" t="s">
        <v>64</v>
      </c>
      <c r="E80" t="s">
        <v>65</v>
      </c>
      <c r="F80" t="s">
        <v>90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74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6</v>
      </c>
      <c r="B81" t="s">
        <v>91</v>
      </c>
      <c r="C81" t="s">
        <v>142</v>
      </c>
      <c r="D81" t="s">
        <v>62</v>
      </c>
      <c r="E81" t="s">
        <v>72</v>
      </c>
      <c r="F81" t="s">
        <v>207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7</v>
      </c>
      <c r="B82" t="s">
        <v>94</v>
      </c>
      <c r="C82" t="s">
        <v>143</v>
      </c>
      <c r="D82" t="s">
        <v>64</v>
      </c>
      <c r="E82" t="s">
        <v>65</v>
      </c>
      <c r="F82" t="s">
        <v>94</v>
      </c>
      <c r="G82">
        <v>1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8</v>
      </c>
      <c r="B83" t="s">
        <v>95</v>
      </c>
      <c r="C83" t="s">
        <v>144</v>
      </c>
      <c r="D83" t="s">
        <v>62</v>
      </c>
      <c r="E83" t="s">
        <v>72</v>
      </c>
      <c r="F83" t="s">
        <v>208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1</v>
      </c>
      <c r="AH83">
        <v>86400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2</v>
      </c>
      <c r="BE83" t="s">
        <v>75</v>
      </c>
      <c r="BF83">
        <v>0</v>
      </c>
      <c r="BG83">
        <v>44853.510416666664</v>
      </c>
      <c r="BH83">
        <v>0</v>
      </c>
      <c r="BI83">
        <v>65472</v>
      </c>
      <c r="BJ83">
        <v>0</v>
      </c>
    </row>
    <row r="84" spans="1:62" x14ac:dyDescent="0.25">
      <c r="A84">
        <v>9</v>
      </c>
      <c r="B84" t="s">
        <v>97</v>
      </c>
      <c r="C84" t="s">
        <v>145</v>
      </c>
      <c r="D84" t="s">
        <v>62</v>
      </c>
      <c r="E84" t="s">
        <v>72</v>
      </c>
      <c r="F84" t="s">
        <v>210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44853.465277777781</v>
      </c>
      <c r="BH84">
        <v>0</v>
      </c>
      <c r="BI84">
        <v>65472</v>
      </c>
      <c r="BJ84">
        <v>0</v>
      </c>
    </row>
    <row r="85" spans="1:62" x14ac:dyDescent="0.25">
      <c r="A85">
        <v>10</v>
      </c>
      <c r="B85" t="s">
        <v>99</v>
      </c>
      <c r="C85" t="s">
        <v>146</v>
      </c>
      <c r="D85" t="s">
        <v>62</v>
      </c>
      <c r="E85" t="s">
        <v>72</v>
      </c>
      <c r="F85" s="6" t="s">
        <v>203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E85" t="s">
        <v>77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11</v>
      </c>
      <c r="B86" t="s">
        <v>184</v>
      </c>
      <c r="C86" t="s">
        <v>185</v>
      </c>
      <c r="D86" t="s">
        <v>62</v>
      </c>
      <c r="E86" t="s">
        <v>72</v>
      </c>
      <c r="F86" t="s">
        <v>204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12</v>
      </c>
      <c r="B87" t="s">
        <v>186</v>
      </c>
      <c r="C87" t="s">
        <v>187</v>
      </c>
      <c r="D87" t="s">
        <v>62</v>
      </c>
      <c r="E87" t="s">
        <v>72</v>
      </c>
      <c r="F87" t="s">
        <v>205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13</v>
      </c>
      <c r="B88" t="s">
        <v>101</v>
      </c>
      <c r="C88" t="s">
        <v>147</v>
      </c>
      <c r="D88" t="s">
        <v>62</v>
      </c>
      <c r="E88" t="s">
        <v>72</v>
      </c>
      <c r="F88" t="s">
        <v>200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78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14</v>
      </c>
      <c r="B89" t="s">
        <v>190</v>
      </c>
      <c r="C89" t="s">
        <v>192</v>
      </c>
      <c r="D89" t="s">
        <v>62</v>
      </c>
      <c r="E89" t="s">
        <v>72</v>
      </c>
      <c r="F89" t="s">
        <v>201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15</v>
      </c>
      <c r="B90" t="s">
        <v>191</v>
      </c>
      <c r="C90" t="s">
        <v>193</v>
      </c>
      <c r="D90" t="s">
        <v>62</v>
      </c>
      <c r="E90" t="s">
        <v>72</v>
      </c>
      <c r="F90" t="s">
        <v>202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F27" sqref="F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  <c r="B7" t="s">
        <v>211</v>
      </c>
      <c r="C7" t="s">
        <v>213</v>
      </c>
      <c r="D7" t="s">
        <v>62</v>
      </c>
      <c r="E7" t="s">
        <v>72</v>
      </c>
      <c r="F7" t="s">
        <v>212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/>
      <c r="B8" t="s">
        <v>214</v>
      </c>
      <c r="C8" t="s">
        <v>215</v>
      </c>
      <c r="D8" t="s">
        <v>64</v>
      </c>
      <c r="E8" t="s">
        <v>65</v>
      </c>
      <c r="F8" t="s">
        <v>214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E8" t="s">
        <v>73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/>
      <c r="B9" t="s">
        <v>216</v>
      </c>
      <c r="C9" t="s">
        <v>217</v>
      </c>
      <c r="D9" t="s">
        <v>64</v>
      </c>
      <c r="E9" t="s">
        <v>65</v>
      </c>
      <c r="F9" t="s">
        <v>216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E9" t="s">
        <v>73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/>
      <c r="B10" t="s">
        <v>218</v>
      </c>
      <c r="C10" t="s">
        <v>220</v>
      </c>
      <c r="D10" t="s">
        <v>62</v>
      </c>
      <c r="E10" t="s">
        <v>72</v>
      </c>
      <c r="F10" t="s">
        <v>219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-1</v>
      </c>
      <c r="AH10">
        <v>60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1</v>
      </c>
      <c r="BF10">
        <v>0</v>
      </c>
      <c r="BG10">
        <v>44853.511111111111</v>
      </c>
      <c r="BH10">
        <v>0</v>
      </c>
      <c r="BI10">
        <v>65472</v>
      </c>
      <c r="BJ10">
        <v>0</v>
      </c>
    </row>
    <row r="11" spans="1:62" x14ac:dyDescent="0.25">
      <c r="A11"/>
      <c r="B11" t="s">
        <v>221</v>
      </c>
      <c r="C11" t="s">
        <v>222</v>
      </c>
      <c r="D11" t="s">
        <v>64</v>
      </c>
      <c r="E11" t="s">
        <v>65</v>
      </c>
      <c r="F11" t="s">
        <v>221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-1</v>
      </c>
      <c r="AH11">
        <v>60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1</v>
      </c>
      <c r="BE11" t="s">
        <v>74</v>
      </c>
      <c r="BF11">
        <v>0</v>
      </c>
      <c r="BG11">
        <v>44853.511111111111</v>
      </c>
      <c r="BH11">
        <v>0</v>
      </c>
      <c r="BI11">
        <v>65472</v>
      </c>
      <c r="BJ11">
        <v>0</v>
      </c>
    </row>
    <row r="12" spans="1:62" x14ac:dyDescent="0.25">
      <c r="A12"/>
      <c r="B12" t="s">
        <v>223</v>
      </c>
      <c r="C12" t="s">
        <v>225</v>
      </c>
      <c r="D12" t="s">
        <v>62</v>
      </c>
      <c r="E12" t="s">
        <v>72</v>
      </c>
      <c r="F12" t="s">
        <v>224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60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/>
      <c r="B13" t="s">
        <v>226</v>
      </c>
      <c r="C13" t="s">
        <v>227</v>
      </c>
      <c r="D13" t="s">
        <v>64</v>
      </c>
      <c r="E13" t="s">
        <v>65</v>
      </c>
      <c r="F13" t="s">
        <v>226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60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/>
      <c r="B14" t="s">
        <v>228</v>
      </c>
      <c r="C14" t="s">
        <v>230</v>
      </c>
      <c r="D14" t="s">
        <v>62</v>
      </c>
      <c r="E14" t="s">
        <v>72</v>
      </c>
      <c r="F14" t="s">
        <v>229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1</v>
      </c>
      <c r="AH14">
        <v>86400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2</v>
      </c>
      <c r="BE14" t="s">
        <v>75</v>
      </c>
      <c r="BF14">
        <v>0</v>
      </c>
      <c r="BG14">
        <v>44853.510416666664</v>
      </c>
      <c r="BH14">
        <v>0</v>
      </c>
      <c r="BI14">
        <v>65472</v>
      </c>
      <c r="BJ14">
        <v>0</v>
      </c>
    </row>
    <row r="15" spans="1:62" x14ac:dyDescent="0.25">
      <c r="A15"/>
      <c r="B15" t="s">
        <v>231</v>
      </c>
      <c r="C15" t="s">
        <v>233</v>
      </c>
      <c r="D15" t="s">
        <v>62</v>
      </c>
      <c r="E15" t="s">
        <v>72</v>
      </c>
      <c r="F15" t="s">
        <v>232</v>
      </c>
      <c r="G15">
        <v>1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1</v>
      </c>
      <c r="AH15">
        <v>86400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2</v>
      </c>
      <c r="BE15" t="s">
        <v>75</v>
      </c>
      <c r="BF15">
        <v>0</v>
      </c>
      <c r="BG15">
        <v>44853.465277777781</v>
      </c>
      <c r="BH15">
        <v>0</v>
      </c>
      <c r="BI15">
        <v>65472</v>
      </c>
      <c r="BJ15">
        <v>0</v>
      </c>
    </row>
    <row r="16" spans="1:62" x14ac:dyDescent="0.25">
      <c r="A16"/>
      <c r="B16" t="s">
        <v>234</v>
      </c>
      <c r="C16" t="s">
        <v>236</v>
      </c>
      <c r="D16" t="s">
        <v>62</v>
      </c>
      <c r="E16" t="s">
        <v>72</v>
      </c>
      <c r="F16" s="6" t="s">
        <v>235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77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/>
      <c r="B17" t="s">
        <v>237</v>
      </c>
      <c r="C17" t="s">
        <v>239</v>
      </c>
      <c r="D17" t="s">
        <v>62</v>
      </c>
      <c r="E17" t="s">
        <v>72</v>
      </c>
      <c r="F17" t="s">
        <v>238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77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/>
      <c r="B18" t="s">
        <v>240</v>
      </c>
      <c r="C18" t="s">
        <v>242</v>
      </c>
      <c r="D18" t="s">
        <v>62</v>
      </c>
      <c r="E18" t="s">
        <v>72</v>
      </c>
      <c r="F18" t="s">
        <v>241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1</v>
      </c>
      <c r="AA18">
        <v>0</v>
      </c>
      <c r="AB18">
        <v>0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77</v>
      </c>
      <c r="BF18">
        <v>0</v>
      </c>
      <c r="BG18">
        <v>44853.511111111111</v>
      </c>
      <c r="BH18">
        <v>0</v>
      </c>
      <c r="BI18">
        <v>65472</v>
      </c>
      <c r="BJ18">
        <v>0</v>
      </c>
    </row>
    <row r="19" spans="1:62" x14ac:dyDescent="0.25">
      <c r="A19"/>
      <c r="B19" t="s">
        <v>243</v>
      </c>
      <c r="C19" t="s">
        <v>245</v>
      </c>
      <c r="D19" t="s">
        <v>62</v>
      </c>
      <c r="E19" t="s">
        <v>72</v>
      </c>
      <c r="F19" t="s">
        <v>244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1</v>
      </c>
      <c r="BE19" t="s">
        <v>78</v>
      </c>
      <c r="BF19">
        <v>0</v>
      </c>
      <c r="BG19">
        <v>44853.511111111111</v>
      </c>
      <c r="BH19">
        <v>0</v>
      </c>
      <c r="BI19">
        <v>65472</v>
      </c>
      <c r="BJ19">
        <v>0</v>
      </c>
    </row>
    <row r="20" spans="1:62" x14ac:dyDescent="0.25">
      <c r="A20"/>
      <c r="B20" t="s">
        <v>246</v>
      </c>
      <c r="C20" t="s">
        <v>248</v>
      </c>
      <c r="D20" t="s">
        <v>62</v>
      </c>
      <c r="E20" t="s">
        <v>72</v>
      </c>
      <c r="F20" t="s">
        <v>247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1</v>
      </c>
      <c r="BE20" t="s">
        <v>78</v>
      </c>
      <c r="BF20">
        <v>0</v>
      </c>
      <c r="BG20">
        <v>44853.511111111111</v>
      </c>
      <c r="BH20">
        <v>0</v>
      </c>
      <c r="BI20">
        <v>65472</v>
      </c>
      <c r="BJ20">
        <v>0</v>
      </c>
    </row>
    <row r="21" spans="1:62" x14ac:dyDescent="0.25">
      <c r="A21"/>
      <c r="B21" t="s">
        <v>249</v>
      </c>
      <c r="C21" t="s">
        <v>251</v>
      </c>
      <c r="D21" t="s">
        <v>62</v>
      </c>
      <c r="E21" t="s">
        <v>72</v>
      </c>
      <c r="F21" t="s">
        <v>250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>
        <v>0</v>
      </c>
      <c r="W21">
        <v>0</v>
      </c>
      <c r="X21">
        <v>0</v>
      </c>
      <c r="Y21">
        <v>0</v>
      </c>
      <c r="Z21">
        <v>1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-1</v>
      </c>
      <c r="AH21">
        <v>0</v>
      </c>
      <c r="AK21">
        <v>1</v>
      </c>
      <c r="AL21">
        <v>1</v>
      </c>
      <c r="AM21">
        <v>0</v>
      </c>
      <c r="BB21">
        <v>0</v>
      </c>
      <c r="BC21">
        <v>0</v>
      </c>
      <c r="BD21">
        <v>1</v>
      </c>
      <c r="BE21" t="s">
        <v>78</v>
      </c>
      <c r="BF21">
        <v>0</v>
      </c>
      <c r="BG21">
        <v>44853.511111111111</v>
      </c>
      <c r="BH21">
        <v>0</v>
      </c>
      <c r="BI21">
        <v>65472</v>
      </c>
      <c r="BJ21">
        <v>0</v>
      </c>
    </row>
    <row r="22" spans="1:62" x14ac:dyDescent="0.25">
      <c r="A22"/>
      <c r="B22" t="s">
        <v>252</v>
      </c>
      <c r="C22" t="s">
        <v>253</v>
      </c>
      <c r="D22" t="s">
        <v>64</v>
      </c>
      <c r="E22" t="s">
        <v>65</v>
      </c>
      <c r="F22" t="s">
        <v>252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</v>
      </c>
      <c r="AC22">
        <v>0</v>
      </c>
      <c r="AD22">
        <v>1</v>
      </c>
      <c r="AE22">
        <v>600</v>
      </c>
      <c r="AF22">
        <v>10</v>
      </c>
      <c r="AG22">
        <v>-1</v>
      </c>
      <c r="AH22">
        <v>0</v>
      </c>
      <c r="AK22">
        <v>1</v>
      </c>
      <c r="AL22">
        <v>1</v>
      </c>
      <c r="AM22">
        <v>0</v>
      </c>
      <c r="BB22">
        <v>0</v>
      </c>
      <c r="BC22">
        <v>0</v>
      </c>
      <c r="BD22">
        <v>1</v>
      </c>
      <c r="BE22" t="s">
        <v>73</v>
      </c>
      <c r="BF22">
        <v>0</v>
      </c>
      <c r="BG22">
        <v>44844.465277777781</v>
      </c>
      <c r="BH22">
        <v>0</v>
      </c>
      <c r="BI22">
        <v>65472</v>
      </c>
      <c r="BJ22">
        <v>0</v>
      </c>
    </row>
    <row r="23" spans="1:62" x14ac:dyDescent="0.25">
      <c r="A23"/>
      <c r="B23" t="s">
        <v>254</v>
      </c>
      <c r="C23" t="s">
        <v>79</v>
      </c>
      <c r="D23" t="s">
        <v>64</v>
      </c>
      <c r="E23" t="s">
        <v>65</v>
      </c>
      <c r="F23" t="s">
        <v>254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V23">
        <v>0</v>
      </c>
      <c r="W23">
        <v>0</v>
      </c>
      <c r="X23">
        <v>0</v>
      </c>
      <c r="Y23">
        <v>0</v>
      </c>
      <c r="Z23">
        <v>1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-1</v>
      </c>
      <c r="AH23">
        <v>0</v>
      </c>
      <c r="AK23">
        <v>1</v>
      </c>
      <c r="AL23">
        <v>1</v>
      </c>
      <c r="AM23">
        <v>0</v>
      </c>
      <c r="BB23">
        <v>0</v>
      </c>
      <c r="BC23">
        <v>0</v>
      </c>
      <c r="BD23">
        <v>2</v>
      </c>
      <c r="BF23">
        <v>0</v>
      </c>
      <c r="BG23">
        <v>44853.259722222225</v>
      </c>
      <c r="BH23">
        <v>0</v>
      </c>
      <c r="BI23">
        <v>65472</v>
      </c>
      <c r="BJ23">
        <v>0</v>
      </c>
    </row>
    <row r="24" spans="1:62" x14ac:dyDescent="0.25">
      <c r="A24"/>
      <c r="B24" t="s">
        <v>255</v>
      </c>
      <c r="C24" t="s">
        <v>80</v>
      </c>
      <c r="D24" t="s">
        <v>64</v>
      </c>
      <c r="E24" t="s">
        <v>65</v>
      </c>
      <c r="F24" t="s">
        <v>255</v>
      </c>
      <c r="G24">
        <v>1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2</v>
      </c>
      <c r="BF24">
        <v>0</v>
      </c>
      <c r="BG24">
        <v>44853.259722222225</v>
      </c>
      <c r="BH24">
        <v>0</v>
      </c>
      <c r="BI24">
        <v>65472</v>
      </c>
      <c r="BJ24">
        <v>0</v>
      </c>
    </row>
    <row r="25" spans="1:62" x14ac:dyDescent="0.25">
      <c r="A25" s="3"/>
    </row>
    <row r="26" spans="1:62" x14ac:dyDescent="0.25">
      <c r="A26" s="3"/>
      <c r="F26" s="6"/>
    </row>
    <row r="27" spans="1:62" x14ac:dyDescent="0.25">
      <c r="A27" s="3"/>
    </row>
    <row r="28" spans="1:62" x14ac:dyDescent="0.25">
      <c r="A28" s="3"/>
    </row>
    <row r="29" spans="1:62" x14ac:dyDescent="0.25">
      <c r="A29" s="3"/>
      <c r="F29" s="6"/>
    </row>
    <row r="30" spans="1:62" x14ac:dyDescent="0.25">
      <c r="A30" s="3"/>
    </row>
    <row r="31" spans="1:62" x14ac:dyDescent="0.25">
      <c r="A31" s="3"/>
      <c r="F31" s="6"/>
    </row>
    <row r="32" spans="1:62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7</vt:i4>
      </vt:variant>
    </vt:vector>
  </HeadingPairs>
  <TitlesOfParts>
    <vt:vector size="12" baseType="lpstr">
      <vt:lpstr>multimeterDB</vt:lpstr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2025-04-16T16:05:03Z</dcterms:modified>
</cp:coreProperties>
</file>